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ayodhya\"/>
    </mc:Choice>
  </mc:AlternateContent>
  <xr:revisionPtr revIDLastSave="0" documentId="13_ncr:1_{AF3A6426-1EF3-4A62-B325-D23061729DF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HP_Matrix" sheetId="1" r:id="rId1"/>
    <sheet name="Column_Sum" sheetId="2" r:id="rId2"/>
    <sheet name="Normaliz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7" i="3" l="1"/>
  <c r="R17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2" i="3"/>
  <c r="Q17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2" i="3"/>
  <c r="P17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B2" i="2"/>
</calcChain>
</file>

<file path=xl/sharedStrings.xml><?xml version="1.0" encoding="utf-8"?>
<sst xmlns="http://schemas.openxmlformats.org/spreadsheetml/2006/main" count="49" uniqueCount="34">
  <si>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</si>
  <si>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</si>
  <si>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</si>
  <si>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</si>
  <si>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</si>
  <si>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</si>
  <si>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</si>
  <si>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</si>
  <si>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</si>
  <si>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</si>
  <si>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</si>
  <si>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</si>
  <si>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</si>
  <si>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</si>
  <si>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</si>
  <si>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Decimal Weight</t>
  </si>
  <si>
    <t>Percentage (%)</t>
  </si>
  <si>
    <t>Raster</t>
  </si>
  <si>
    <t>% Influence</t>
  </si>
  <si>
    <t>recl_pop_f</t>
  </si>
  <si>
    <t>recl_road_f</t>
  </si>
  <si>
    <t>recl_junc_f</t>
  </si>
  <si>
    <t>recl_comm_f</t>
  </si>
  <si>
    <t>recl_ame_f</t>
  </si>
  <si>
    <t>recl_fuel_f</t>
  </si>
  <si>
    <t>recl_power_f</t>
  </si>
  <si>
    <t>recl_aqi_f</t>
  </si>
  <si>
    <t>recl_park_f</t>
  </si>
  <si>
    <t>recls_bus_f</t>
  </si>
  <si>
    <t>recl_rail_f</t>
  </si>
  <si>
    <t>recl_tour_f</t>
  </si>
  <si>
    <t>recl_ev_f</t>
  </si>
  <si>
    <t>recl_water_f</t>
  </si>
  <si>
    <t>recl_ndvi_f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</si>
</sst>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workbookViewId="0">
      <selection activeCell="U15" sqref="U15"/>
    </sheetView>
  </sheetViews>
  <sheetFormatPr defaultRowHeight="14.4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0</v>
      </c>
      <c r="B2">
        <v>1</v>
      </c>
      <c r="C2">
        <v>2</v>
      </c>
      <c r="D2">
        <v>3</v>
      </c>
      <c r="E2">
        <v>3</v>
      </c>
      <c r="F2">
        <v>3</v>
      </c>
      <c r="G2">
        <v>1</v>
      </c>
      <c r="H2">
        <v>2</v>
      </c>
      <c r="I2">
        <v>2</v>
      </c>
      <c r="J2">
        <v>3</v>
      </c>
      <c r="K2">
        <v>2</v>
      </c>
      <c r="L2">
        <v>3</v>
      </c>
      <c r="M2">
        <v>2</v>
      </c>
      <c r="N2">
        <v>4</v>
      </c>
      <c r="O2">
        <v>4</v>
      </c>
      <c r="P2">
        <v>2</v>
      </c>
    </row>
    <row r="3" spans="1:16">
      <c r="A3" t="s">
        <v>1</v>
      </c>
      <c r="B3">
        <v>0.5</v>
      </c>
      <c r="C3">
        <v>1</v>
      </c>
      <c r="D3">
        <v>2</v>
      </c>
      <c r="E3">
        <v>2</v>
      </c>
      <c r="F3">
        <v>2</v>
      </c>
      <c r="G3">
        <v>0.5</v>
      </c>
      <c r="H3">
        <v>1</v>
      </c>
      <c r="I3">
        <v>1</v>
      </c>
      <c r="J3">
        <v>2</v>
      </c>
      <c r="K3">
        <v>1</v>
      </c>
      <c r="L3">
        <v>2</v>
      </c>
      <c r="M3">
        <v>1</v>
      </c>
      <c r="N3">
        <v>3</v>
      </c>
      <c r="O3">
        <v>3</v>
      </c>
      <c r="P3">
        <v>1</v>
      </c>
    </row>
    <row r="4" spans="1:16">
      <c r="A4" t="s">
        <v>2</v>
      </c>
      <c r="B4">
        <v>0.33333333333333331</v>
      </c>
      <c r="C4">
        <v>0.5</v>
      </c>
      <c r="D4">
        <v>1</v>
      </c>
      <c r="E4">
        <v>1</v>
      </c>
      <c r="F4">
        <v>1</v>
      </c>
      <c r="G4">
        <v>0.33333333333333331</v>
      </c>
      <c r="H4">
        <v>0.5</v>
      </c>
      <c r="I4">
        <v>0.5</v>
      </c>
      <c r="J4">
        <v>1</v>
      </c>
      <c r="K4">
        <v>0.5</v>
      </c>
      <c r="L4">
        <v>1</v>
      </c>
      <c r="M4">
        <v>0.5</v>
      </c>
      <c r="N4">
        <v>2</v>
      </c>
      <c r="O4">
        <v>2</v>
      </c>
      <c r="P4">
        <v>0.5</v>
      </c>
    </row>
    <row r="5" spans="1:16">
      <c r="A5" t="s">
        <v>3</v>
      </c>
      <c r="B5">
        <v>0.33333333333333331</v>
      </c>
      <c r="C5">
        <v>0.5</v>
      </c>
      <c r="D5">
        <v>1</v>
      </c>
      <c r="E5">
        <v>1</v>
      </c>
      <c r="F5">
        <v>1</v>
      </c>
      <c r="G5">
        <v>0.33333333333333331</v>
      </c>
      <c r="H5">
        <v>0.5</v>
      </c>
      <c r="I5">
        <v>0.5</v>
      </c>
      <c r="J5">
        <v>1</v>
      </c>
      <c r="K5">
        <v>0.5</v>
      </c>
      <c r="L5">
        <v>1</v>
      </c>
      <c r="M5">
        <v>0.5</v>
      </c>
      <c r="N5">
        <v>2</v>
      </c>
      <c r="O5">
        <v>2</v>
      </c>
      <c r="P5">
        <v>0.5</v>
      </c>
    </row>
    <row r="6" spans="1:16">
      <c r="A6" t="s">
        <v>4</v>
      </c>
      <c r="B6">
        <v>0.33333333333333331</v>
      </c>
      <c r="C6">
        <v>0.5</v>
      </c>
      <c r="D6">
        <v>1</v>
      </c>
      <c r="E6">
        <v>1</v>
      </c>
      <c r="F6">
        <v>1</v>
      </c>
      <c r="G6">
        <v>0.33333333333333331</v>
      </c>
      <c r="H6">
        <v>0.5</v>
      </c>
      <c r="I6">
        <v>0.5</v>
      </c>
      <c r="J6">
        <v>1</v>
      </c>
      <c r="K6">
        <v>0.5</v>
      </c>
      <c r="L6">
        <v>1</v>
      </c>
      <c r="M6">
        <v>0.5</v>
      </c>
      <c r="N6">
        <v>2</v>
      </c>
      <c r="O6">
        <v>2</v>
      </c>
      <c r="P6">
        <v>0.5</v>
      </c>
    </row>
    <row r="7" spans="1:16">
      <c r="A7" t="s">
        <v>5</v>
      </c>
      <c r="B7">
        <v>1</v>
      </c>
      <c r="C7">
        <v>2</v>
      </c>
      <c r="D7">
        <v>3</v>
      </c>
      <c r="E7">
        <v>3</v>
      </c>
      <c r="F7">
        <v>3</v>
      </c>
      <c r="G7">
        <v>1</v>
      </c>
      <c r="H7">
        <v>2</v>
      </c>
      <c r="I7">
        <v>2</v>
      </c>
      <c r="J7">
        <v>3</v>
      </c>
      <c r="K7">
        <v>2</v>
      </c>
      <c r="L7">
        <v>3</v>
      </c>
      <c r="M7">
        <v>2</v>
      </c>
      <c r="N7">
        <v>4</v>
      </c>
      <c r="O7">
        <v>4</v>
      </c>
      <c r="P7">
        <v>2</v>
      </c>
    </row>
    <row r="8" spans="1:16">
      <c r="A8" t="s">
        <v>6</v>
      </c>
      <c r="B8">
        <v>0.5</v>
      </c>
      <c r="C8">
        <v>1</v>
      </c>
      <c r="D8">
        <v>2</v>
      </c>
      <c r="E8">
        <v>2</v>
      </c>
      <c r="F8">
        <v>2</v>
      </c>
      <c r="G8">
        <v>0.5</v>
      </c>
      <c r="H8">
        <v>1</v>
      </c>
      <c r="I8">
        <v>1</v>
      </c>
      <c r="J8">
        <v>2</v>
      </c>
      <c r="K8">
        <v>1</v>
      </c>
      <c r="L8">
        <v>2</v>
      </c>
      <c r="M8">
        <v>1</v>
      </c>
      <c r="N8">
        <v>3</v>
      </c>
      <c r="O8">
        <v>3</v>
      </c>
      <c r="P8">
        <v>1</v>
      </c>
    </row>
    <row r="9" spans="1:16">
      <c r="A9" t="s">
        <v>7</v>
      </c>
      <c r="B9">
        <v>0.5</v>
      </c>
      <c r="C9">
        <v>1</v>
      </c>
      <c r="D9">
        <v>2</v>
      </c>
      <c r="E9">
        <v>2</v>
      </c>
      <c r="F9">
        <v>2</v>
      </c>
      <c r="G9">
        <v>0.5</v>
      </c>
      <c r="H9">
        <v>1</v>
      </c>
      <c r="I9">
        <v>1</v>
      </c>
      <c r="J9">
        <v>2</v>
      </c>
      <c r="K9">
        <v>1</v>
      </c>
      <c r="L9">
        <v>2</v>
      </c>
      <c r="M9">
        <v>1</v>
      </c>
      <c r="N9">
        <v>3</v>
      </c>
      <c r="O9">
        <v>3</v>
      </c>
      <c r="P9">
        <v>1</v>
      </c>
    </row>
    <row r="10" spans="1:16">
      <c r="A10" t="s">
        <v>8</v>
      </c>
      <c r="B10">
        <v>0.33333333333333331</v>
      </c>
      <c r="C10">
        <v>0.5</v>
      </c>
      <c r="D10">
        <v>1</v>
      </c>
      <c r="E10">
        <v>1</v>
      </c>
      <c r="F10">
        <v>1</v>
      </c>
      <c r="G10">
        <v>0.33333333333333331</v>
      </c>
      <c r="H10">
        <v>0.5</v>
      </c>
      <c r="I10">
        <v>0.5</v>
      </c>
      <c r="J10">
        <v>1</v>
      </c>
      <c r="K10">
        <v>0.5</v>
      </c>
      <c r="L10">
        <v>1</v>
      </c>
      <c r="M10">
        <v>0.5</v>
      </c>
      <c r="N10">
        <v>2</v>
      </c>
      <c r="O10">
        <v>2</v>
      </c>
      <c r="P10">
        <v>0.5</v>
      </c>
    </row>
    <row r="11" spans="1:16">
      <c r="A11" t="s">
        <v>9</v>
      </c>
      <c r="B11">
        <v>0.5</v>
      </c>
      <c r="C11">
        <v>1</v>
      </c>
      <c r="D11">
        <v>2</v>
      </c>
      <c r="E11">
        <v>2</v>
      </c>
      <c r="F11">
        <v>2</v>
      </c>
      <c r="G11">
        <v>0.5</v>
      </c>
      <c r="H11">
        <v>1</v>
      </c>
      <c r="I11">
        <v>1</v>
      </c>
      <c r="J11">
        <v>2</v>
      </c>
      <c r="K11">
        <v>1</v>
      </c>
      <c r="L11">
        <v>2</v>
      </c>
      <c r="M11">
        <v>1</v>
      </c>
      <c r="N11">
        <v>3</v>
      </c>
      <c r="O11">
        <v>3</v>
      </c>
      <c r="P11">
        <v>1</v>
      </c>
    </row>
    <row r="12" spans="1:16">
      <c r="A12" t="s">
        <v>10</v>
      </c>
      <c r="B12">
        <v>0.33333333333333331</v>
      </c>
      <c r="C12">
        <v>0.5</v>
      </c>
      <c r="D12">
        <v>1</v>
      </c>
      <c r="E12">
        <v>1</v>
      </c>
      <c r="F12">
        <v>1</v>
      </c>
      <c r="G12">
        <v>0.33333333333333331</v>
      </c>
      <c r="H12">
        <v>0.5</v>
      </c>
      <c r="I12">
        <v>0.5</v>
      </c>
      <c r="J12">
        <v>1</v>
      </c>
      <c r="K12">
        <v>0.5</v>
      </c>
      <c r="L12">
        <v>1</v>
      </c>
      <c r="M12">
        <v>0.5</v>
      </c>
      <c r="N12">
        <v>2</v>
      </c>
      <c r="O12">
        <v>2</v>
      </c>
      <c r="P12">
        <v>0.5</v>
      </c>
    </row>
    <row r="13" spans="1:16">
      <c r="A13" t="s">
        <v>11</v>
      </c>
      <c r="B13">
        <v>0.5</v>
      </c>
      <c r="C13">
        <v>1</v>
      </c>
      <c r="D13">
        <v>2</v>
      </c>
      <c r="E13">
        <v>2</v>
      </c>
      <c r="F13">
        <v>2</v>
      </c>
      <c r="G13">
        <v>0.5</v>
      </c>
      <c r="H13">
        <v>1</v>
      </c>
      <c r="I13">
        <v>1</v>
      </c>
      <c r="J13">
        <v>2</v>
      </c>
      <c r="K13">
        <v>1</v>
      </c>
      <c r="L13">
        <v>2</v>
      </c>
      <c r="M13">
        <v>1</v>
      </c>
      <c r="N13">
        <v>3</v>
      </c>
      <c r="O13">
        <v>3</v>
      </c>
      <c r="P13">
        <v>1</v>
      </c>
    </row>
    <row r="14" spans="1:16">
      <c r="A14" t="s">
        <v>12</v>
      </c>
      <c r="B14">
        <v>0.25</v>
      </c>
      <c r="C14">
        <v>0.33333333333333331</v>
      </c>
      <c r="D14">
        <v>0.5</v>
      </c>
      <c r="E14">
        <v>0.5</v>
      </c>
      <c r="F14">
        <v>0.5</v>
      </c>
      <c r="G14">
        <v>0.25</v>
      </c>
      <c r="H14">
        <v>0.33333333333333331</v>
      </c>
      <c r="I14">
        <v>0.33333333333333331</v>
      </c>
      <c r="J14">
        <v>0.5</v>
      </c>
      <c r="K14">
        <v>0.33333333333333331</v>
      </c>
      <c r="L14">
        <v>0.5</v>
      </c>
      <c r="M14">
        <v>0.33333333333333331</v>
      </c>
      <c r="N14">
        <v>1</v>
      </c>
      <c r="O14">
        <v>1</v>
      </c>
      <c r="P14">
        <v>0.33333333333333331</v>
      </c>
    </row>
    <row r="15" spans="1:16">
      <c r="A15" t="s">
        <v>13</v>
      </c>
      <c r="B15">
        <v>0.25</v>
      </c>
      <c r="C15">
        <v>0.33333333333333331</v>
      </c>
      <c r="D15">
        <v>0.5</v>
      </c>
      <c r="E15">
        <v>0.5</v>
      </c>
      <c r="F15">
        <v>0.5</v>
      </c>
      <c r="G15">
        <v>0.25</v>
      </c>
      <c r="H15">
        <v>0.33333333333333331</v>
      </c>
      <c r="I15">
        <v>0.33333333333333331</v>
      </c>
      <c r="J15">
        <v>0.5</v>
      </c>
      <c r="K15">
        <v>0.33333333333333331</v>
      </c>
      <c r="L15">
        <v>0.5</v>
      </c>
      <c r="M15">
        <v>0.33333333333333331</v>
      </c>
      <c r="N15">
        <v>1</v>
      </c>
      <c r="O15">
        <v>1</v>
      </c>
      <c r="P15">
        <v>0.33333333333333331</v>
      </c>
    </row>
    <row r="16" spans="1:16">
      <c r="A16" t="s">
        <v>14</v>
      </c>
      <c r="B16">
        <v>0.5</v>
      </c>
      <c r="C16">
        <v>1</v>
      </c>
      <c r="D16">
        <v>2</v>
      </c>
      <c r="E16">
        <v>2</v>
      </c>
      <c r="F16">
        <v>2</v>
      </c>
      <c r="G16">
        <v>0.5</v>
      </c>
      <c r="H16">
        <v>1</v>
      </c>
      <c r="I16">
        <v>1</v>
      </c>
      <c r="J16">
        <v>2</v>
      </c>
      <c r="K16">
        <v>1</v>
      </c>
      <c r="L16">
        <v>2</v>
      </c>
      <c r="M16">
        <v>1</v>
      </c>
      <c r="N16">
        <v>3</v>
      </c>
      <c r="O16">
        <v>3</v>
      </c>
      <c r="P1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01B9-161A-45AE-A2FB-5D0EFC2591F1}">
  <dimension ref="B2:P2"/>
  <sheetViews>
    <sheetView workbookViewId="0">
      <selection activeCell="P2" sqref="P2"/>
    </sheetView>
  </sheetViews>
  <sheetFormatPr defaultRowHeight="14.4"/>
  <cols>
    <col min="2" max="2" width="19.33203125" customWidth="1"/>
  </cols>
  <sheetData>
    <row r="2" spans="2:16">
      <c r="B2">
        <f>SUM(AHP_Matrix!B2:B16)</f>
        <v>7.1666666666666661</v>
      </c>
      <c r="C2">
        <f>SUM(AHP_Matrix!C2:C16)</f>
        <v>13.166666666666668</v>
      </c>
      <c r="D2">
        <f>SUM(AHP_Matrix!D2:D16)</f>
        <v>24</v>
      </c>
      <c r="E2">
        <f>SUM(AHP_Matrix!E2:E16)</f>
        <v>24</v>
      </c>
      <c r="F2">
        <f>SUM(AHP_Matrix!F2:F16)</f>
        <v>24</v>
      </c>
      <c r="G2">
        <f>SUM(AHP_Matrix!G2:G16)</f>
        <v>7.1666666666666661</v>
      </c>
      <c r="H2">
        <f>SUM(AHP_Matrix!H2:H16)</f>
        <v>13.166666666666668</v>
      </c>
      <c r="I2">
        <f>SUM(AHP_Matrix!I2:I16)</f>
        <v>13.166666666666668</v>
      </c>
      <c r="J2">
        <f>SUM(AHP_Matrix!J2:J16)</f>
        <v>24</v>
      </c>
      <c r="K2">
        <f>SUM(AHP_Matrix!K2:K16)</f>
        <v>13.166666666666668</v>
      </c>
      <c r="L2">
        <f>SUM(AHP_Matrix!L2:L16)</f>
        <v>24</v>
      </c>
      <c r="M2">
        <f>SUM(AHP_Matrix!M2:M16)</f>
        <v>13.166666666666668</v>
      </c>
      <c r="N2">
        <f>SUM(AHP_Matrix!N2:N16)</f>
        <v>38</v>
      </c>
      <c r="O2">
        <f>SUM(AHP_Matrix!O2:O16)</f>
        <v>38</v>
      </c>
      <c r="P2">
        <f>SUM(AHP_Matrix!P2:P16)</f>
        <v>13.166666666666668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2DE9-C5DC-4CCF-BE77-AAD8150E7471}">
  <dimension ref="B1:V17"/>
  <sheetViews>
    <sheetView tabSelected="1" topLeftCell="F1" zoomScale="91" zoomScaleNormal="70" workbookViewId="0">
      <selection activeCell="AA15" sqref="AA15"/>
    </sheetView>
  </sheetViews>
  <sheetFormatPr defaultRowHeight="14.4"/>
  <cols>
    <col min="2" max="18" width="9" bestFit="1" customWidth="1"/>
    <col min="19" max="19" width="12.5546875" bestFit="1" customWidth="1"/>
    <col min="20" max="20" width="16.77734375" customWidth="1"/>
    <col min="21" max="21" width="12.77734375" customWidth="1"/>
    <col min="22" max="22" width="14.77734375" customWidth="1"/>
  </cols>
  <sheetData>
    <row r="1" spans="2:22" ht="28.8">
      <c r="S1" s="1" t="s">
        <v>15</v>
      </c>
      <c r="T1" s="1" t="s">
        <v>16</v>
      </c>
      <c r="U1" s="1" t="s">
        <v>17</v>
      </c>
      <c r="V1" s="1" t="s">
        <v>18</v>
      </c>
    </row>
    <row r="2" spans="2:22">
      <c r="B2">
        <f>AHP_Matrix!B2 / Column_Sum!B$2</f>
        <v>0.13953488372093023</v>
      </c>
      <c r="C2">
        <f>AHP_Matrix!C2 / Column_Sum!C$2</f>
        <v>0.15189873417721517</v>
      </c>
      <c r="D2">
        <f>AHP_Matrix!D2 / Column_Sum!D$2</f>
        <v>0.125</v>
      </c>
      <c r="E2">
        <f>AHP_Matrix!E2 / Column_Sum!E$2</f>
        <v>0.125</v>
      </c>
      <c r="F2">
        <f>AHP_Matrix!F2 / Column_Sum!F$2</f>
        <v>0.125</v>
      </c>
      <c r="G2">
        <f>AHP_Matrix!G2 / Column_Sum!G$2</f>
        <v>0.13953488372093023</v>
      </c>
      <c r="H2">
        <f>AHP_Matrix!H2 / Column_Sum!H$2</f>
        <v>0.15189873417721517</v>
      </c>
      <c r="I2">
        <f>AHP_Matrix!I2 / Column_Sum!I$2</f>
        <v>0.15189873417721517</v>
      </c>
      <c r="J2">
        <f>AHP_Matrix!J2 / Column_Sum!J$2</f>
        <v>0.125</v>
      </c>
      <c r="K2">
        <f>AHP_Matrix!K2 / Column_Sum!K$2</f>
        <v>0.15189873417721517</v>
      </c>
      <c r="L2">
        <f>AHP_Matrix!L2 / Column_Sum!L$2</f>
        <v>0.125</v>
      </c>
      <c r="M2">
        <f>AHP_Matrix!M2 / Column_Sum!M$2</f>
        <v>0.15189873417721517</v>
      </c>
      <c r="N2">
        <f>AHP_Matrix!N2 / Column_Sum!N$2</f>
        <v>0.10526315789473684</v>
      </c>
      <c r="O2">
        <f>AHP_Matrix!O2 / Column_Sum!O$2</f>
        <v>0.10526315789473684</v>
      </c>
      <c r="P2">
        <f>AHP_Matrix!P2 / Column_Sum!P$2</f>
        <v>0.15189873417721517</v>
      </c>
      <c r="Q2">
        <f>AVERAGE(B2:P2)</f>
        <v>0.13506589921964166</v>
      </c>
      <c r="R2">
        <f>Q2 / SUM($Q$2:$Q$16)</f>
        <v>0.13737836659121261</v>
      </c>
      <c r="S2" s="2">
        <v>0.137378367</v>
      </c>
      <c r="T2" s="3">
        <v>13.74</v>
      </c>
      <c r="U2" s="4" t="s">
        <v>19</v>
      </c>
      <c r="V2" s="3">
        <v>15</v>
      </c>
    </row>
    <row r="3" spans="2:22">
      <c r="P3">
        <f>AHP_Matrix!P3 / Column_Sum!P$2</f>
        <v>7.5949367088607583E-2</v>
      </c>
      <c r="Q3">
        <f t="shared" ref="Q3:Q16" si="0">AVERAGE(B3:P3)</f>
        <v>7.5949367088607583E-2</v>
      </c>
      <c r="R3">
        <f t="shared" ref="R3:R16" si="1">Q3 / SUM($Q$2:$Q$16)</f>
        <v>7.7249698514219783E-2</v>
      </c>
      <c r="S3" s="2">
        <v>7.7249699000000005E-2</v>
      </c>
      <c r="T3" s="3">
        <v>7.72</v>
      </c>
      <c r="U3" s="4" t="s">
        <v>20</v>
      </c>
      <c r="V3" s="3">
        <v>13</v>
      </c>
    </row>
    <row r="4" spans="2:22">
      <c r="P4">
        <f>AHP_Matrix!P4 / Column_Sum!P$2</f>
        <v>3.7974683544303792E-2</v>
      </c>
      <c r="Q4">
        <f t="shared" si="0"/>
        <v>3.7974683544303792E-2</v>
      </c>
      <c r="R4">
        <f t="shared" si="1"/>
        <v>3.8624849257109892E-2</v>
      </c>
      <c r="S4" s="2">
        <v>3.8624849000000003E-2</v>
      </c>
      <c r="T4" s="3">
        <v>3.86</v>
      </c>
      <c r="U4" s="4" t="s">
        <v>21</v>
      </c>
      <c r="V4" s="3">
        <v>8</v>
      </c>
    </row>
    <row r="5" spans="2:22">
      <c r="P5">
        <f>AHP_Matrix!P5 / Column_Sum!P$2</f>
        <v>3.7974683544303792E-2</v>
      </c>
      <c r="Q5">
        <f t="shared" si="0"/>
        <v>3.7974683544303792E-2</v>
      </c>
      <c r="R5">
        <f t="shared" si="1"/>
        <v>3.8624849257109892E-2</v>
      </c>
      <c r="S5" s="2">
        <v>3.8624849000000003E-2</v>
      </c>
      <c r="T5" s="3">
        <v>3.86</v>
      </c>
      <c r="U5" s="4" t="s">
        <v>22</v>
      </c>
      <c r="V5" s="3">
        <v>8</v>
      </c>
    </row>
    <row r="6" spans="2:22">
      <c r="P6">
        <f>AHP_Matrix!P6 / Column_Sum!P$2</f>
        <v>3.7974683544303792E-2</v>
      </c>
      <c r="Q6">
        <f t="shared" si="0"/>
        <v>3.7974683544303792E-2</v>
      </c>
      <c r="R6">
        <f t="shared" si="1"/>
        <v>3.8624849257109892E-2</v>
      </c>
      <c r="S6" s="2">
        <v>3.8624849000000003E-2</v>
      </c>
      <c r="T6" s="3">
        <v>3.86</v>
      </c>
      <c r="U6" s="4" t="s">
        <v>23</v>
      </c>
      <c r="V6" s="3">
        <v>8</v>
      </c>
    </row>
    <row r="7" spans="2:22">
      <c r="P7">
        <f>AHP_Matrix!P7 / Column_Sum!P$2</f>
        <v>0.15189873417721517</v>
      </c>
      <c r="Q7">
        <f t="shared" si="0"/>
        <v>0.15189873417721517</v>
      </c>
      <c r="R7">
        <f t="shared" si="1"/>
        <v>0.15449939702843957</v>
      </c>
      <c r="S7" s="2">
        <v>0.15449939700000001</v>
      </c>
      <c r="T7" s="3">
        <v>15.45</v>
      </c>
      <c r="U7" s="4" t="s">
        <v>24</v>
      </c>
      <c r="V7" s="3">
        <v>8</v>
      </c>
    </row>
    <row r="8" spans="2:22">
      <c r="P8">
        <f>AHP_Matrix!P8 / Column_Sum!P$2</f>
        <v>7.5949367088607583E-2</v>
      </c>
      <c r="Q8">
        <f t="shared" si="0"/>
        <v>7.5949367088607583E-2</v>
      </c>
      <c r="R8">
        <f t="shared" si="1"/>
        <v>7.7249698514219783E-2</v>
      </c>
      <c r="S8" s="2">
        <v>7.7249699000000005E-2</v>
      </c>
      <c r="T8" s="3">
        <v>7.72</v>
      </c>
      <c r="U8" s="4" t="s">
        <v>25</v>
      </c>
      <c r="V8" s="3">
        <v>8</v>
      </c>
    </row>
    <row r="9" spans="2:22">
      <c r="P9">
        <f>AHP_Matrix!P9 / Column_Sum!P$2</f>
        <v>7.5949367088607583E-2</v>
      </c>
      <c r="Q9">
        <f t="shared" si="0"/>
        <v>7.5949367088607583E-2</v>
      </c>
      <c r="R9">
        <f t="shared" si="1"/>
        <v>7.7249698514219783E-2</v>
      </c>
      <c r="S9" s="2">
        <v>7.7249699000000005E-2</v>
      </c>
      <c r="T9" s="3">
        <v>7.72</v>
      </c>
      <c r="U9" s="4" t="s">
        <v>26</v>
      </c>
      <c r="V9" s="3">
        <v>8</v>
      </c>
    </row>
    <row r="10" spans="2:22">
      <c r="P10">
        <f>AHP_Matrix!P10 / Column_Sum!P$2</f>
        <v>3.7974683544303792E-2</v>
      </c>
      <c r="Q10">
        <f t="shared" si="0"/>
        <v>3.7974683544303792E-2</v>
      </c>
      <c r="R10">
        <f t="shared" si="1"/>
        <v>3.8624849257109892E-2</v>
      </c>
      <c r="S10" s="2">
        <v>3.8624849000000003E-2</v>
      </c>
      <c r="T10" s="3">
        <v>3.86</v>
      </c>
      <c r="U10" s="4" t="s">
        <v>27</v>
      </c>
      <c r="V10" s="3">
        <v>4</v>
      </c>
    </row>
    <row r="11" spans="2:22">
      <c r="P11">
        <f>AHP_Matrix!P11 / Column_Sum!P$2</f>
        <v>7.5949367088607583E-2</v>
      </c>
      <c r="Q11">
        <f t="shared" si="0"/>
        <v>7.5949367088607583E-2</v>
      </c>
      <c r="R11">
        <f t="shared" si="1"/>
        <v>7.7249698514219783E-2</v>
      </c>
      <c r="S11" s="2">
        <v>7.7249699000000005E-2</v>
      </c>
      <c r="T11" s="3">
        <v>7.72</v>
      </c>
      <c r="U11" s="4" t="s">
        <v>28</v>
      </c>
      <c r="V11" s="3">
        <v>4</v>
      </c>
    </row>
    <row r="12" spans="2:22">
      <c r="P12">
        <f>AHP_Matrix!P12 / Column_Sum!P$2</f>
        <v>3.7974683544303792E-2</v>
      </c>
      <c r="Q12">
        <f t="shared" si="0"/>
        <v>3.7974683544303792E-2</v>
      </c>
      <c r="R12">
        <f t="shared" si="1"/>
        <v>3.8624849257109892E-2</v>
      </c>
      <c r="S12" s="2">
        <v>3.8624849000000003E-2</v>
      </c>
      <c r="T12" s="3">
        <v>3.86</v>
      </c>
      <c r="U12" s="4" t="s">
        <v>29</v>
      </c>
      <c r="V12" s="3">
        <v>4</v>
      </c>
    </row>
    <row r="13" spans="2:22">
      <c r="P13">
        <f>AHP_Matrix!P13 / Column_Sum!P$2</f>
        <v>7.5949367088607583E-2</v>
      </c>
      <c r="Q13">
        <f t="shared" si="0"/>
        <v>7.5949367088607583E-2</v>
      </c>
      <c r="R13">
        <f t="shared" si="1"/>
        <v>7.7249698514219783E-2</v>
      </c>
      <c r="S13" s="2">
        <v>7.7249699000000005E-2</v>
      </c>
      <c r="T13" s="3">
        <v>7.72</v>
      </c>
      <c r="U13" s="4" t="s">
        <v>30</v>
      </c>
      <c r="V13" s="3">
        <v>4</v>
      </c>
    </row>
    <row r="14" spans="2:22">
      <c r="P14">
        <f>AHP_Matrix!P14 / Column_Sum!P$2</f>
        <v>2.5316455696202528E-2</v>
      </c>
      <c r="Q14">
        <f t="shared" si="0"/>
        <v>2.5316455696202528E-2</v>
      </c>
      <c r="R14">
        <f t="shared" si="1"/>
        <v>2.5749899504739927E-2</v>
      </c>
      <c r="S14" s="2">
        <v>2.5749899999999999E-2</v>
      </c>
      <c r="T14" s="3">
        <v>2.57</v>
      </c>
      <c r="U14" s="4" t="s">
        <v>31</v>
      </c>
      <c r="V14" s="3">
        <v>4</v>
      </c>
    </row>
    <row r="15" spans="2:22">
      <c r="P15">
        <f>AHP_Matrix!P15 / Column_Sum!P$2</f>
        <v>2.5316455696202528E-2</v>
      </c>
      <c r="Q15">
        <f t="shared" si="0"/>
        <v>2.5316455696202528E-2</v>
      </c>
      <c r="R15">
        <f t="shared" si="1"/>
        <v>2.5749899504739927E-2</v>
      </c>
      <c r="S15" s="2">
        <v>2.5749899999999999E-2</v>
      </c>
      <c r="T15" s="3">
        <v>2.57</v>
      </c>
      <c r="U15" s="4" t="s">
        <v>32</v>
      </c>
      <c r="V15" s="3">
        <v>2</v>
      </c>
    </row>
    <row r="16" spans="2:22">
      <c r="P16">
        <f>AHP_Matrix!P16 / Column_Sum!P$2</f>
        <v>7.5949367088607583E-2</v>
      </c>
      <c r="Q16">
        <f t="shared" si="0"/>
        <v>7.5949367088607583E-2</v>
      </c>
      <c r="R16">
        <f t="shared" si="1"/>
        <v>7.7249698514219783E-2</v>
      </c>
      <c r="S16" s="2">
        <v>7.7249699000000005E-2</v>
      </c>
      <c r="T16" s="3">
        <v>7.72</v>
      </c>
      <c r="U16" s="4" t="s">
        <v>33</v>
      </c>
      <c r="V16" s="3">
        <v>2</v>
      </c>
    </row>
    <row r="17" spans="16:20">
      <c r="P17">
        <f>SUM(P2:P16)</f>
        <v>0.99999999999999978</v>
      </c>
      <c r="Q17">
        <f>SUM(Q2:Q16)</f>
        <v>0.98316716504242618</v>
      </c>
      <c r="R17">
        <f>SUM(R2:R16)</f>
        <v>1.0000000000000002</v>
      </c>
      <c r="T17">
        <f>SUM(T2:T16)</f>
        <v>99.949999999999974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AHP_Matrix</vt:lpstr>
      <vt:lpstr>Column_Sum</vt:lpstr>
      <vt:lpstr>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Devansh Negi</cp:lastModifiedBy>
  <dcterms:created xsi:type="dcterms:W3CDTF">2026-02-03T17:46:03Z</dcterms:created>
  <dcterms:modified xsi:type="dcterms:W3CDTF">2026-03-01T07:59:39Z</dcterms:modified>
</cp:coreProperties>
</file>